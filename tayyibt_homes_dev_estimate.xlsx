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bu saif\Tayyibt - kilocode - Copy\project-details\"/>
    </mc:Choice>
  </mc:AlternateContent>
  <bookViews>
    <workbookView xWindow="0" yWindow="0" windowWidth="16380" windowHeight="8196" tabRatio="500" activeTab="4"/>
  </bookViews>
  <sheets>
    <sheet name="Summary" sheetId="1" r:id="rId1"/>
    <sheet name="Roles &amp; Rates" sheetId="2" r:id="rId2"/>
    <sheet name="Phase Breakdown" sheetId="3" r:id="rId3"/>
    <sheet name="Detailed Cost" sheetId="4" r:id="rId4"/>
    <sheet name="Recommendation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4" l="1"/>
  <c r="G21" i="4"/>
  <c r="E21" i="4"/>
  <c r="C21" i="4"/>
  <c r="F13" i="4"/>
  <c r="E13" i="4"/>
  <c r="D13" i="4"/>
  <c r="C13" i="4"/>
  <c r="B13" i="4"/>
  <c r="L12" i="4"/>
  <c r="J12" i="4"/>
  <c r="H12" i="4"/>
  <c r="L11" i="4"/>
  <c r="J11" i="4"/>
  <c r="H11" i="4"/>
  <c r="L10" i="4"/>
  <c r="J10" i="4"/>
  <c r="H10" i="4"/>
  <c r="L9" i="4"/>
  <c r="J9" i="4"/>
  <c r="H9" i="4"/>
  <c r="L8" i="4"/>
  <c r="J8" i="4"/>
  <c r="H8" i="4"/>
  <c r="L7" i="4"/>
  <c r="J7" i="4"/>
  <c r="H7" i="4"/>
  <c r="L6" i="4"/>
  <c r="J6" i="4"/>
  <c r="H6" i="4"/>
  <c r="L5" i="4"/>
  <c r="L13" i="4" s="1"/>
  <c r="J5" i="4"/>
  <c r="J13" i="4" s="1"/>
  <c r="H5" i="4"/>
  <c r="H13" i="4" s="1"/>
  <c r="E25" i="3"/>
  <c r="D25" i="3"/>
  <c r="C25" i="3"/>
  <c r="F25" i="3" s="1"/>
  <c r="B25" i="3"/>
  <c r="E24" i="3"/>
  <c r="D24" i="3"/>
  <c r="C24" i="3"/>
  <c r="B24" i="3"/>
  <c r="F24" i="3" s="1"/>
  <c r="E23" i="3"/>
  <c r="F23" i="3" s="1"/>
  <c r="D23" i="3"/>
  <c r="C23" i="3"/>
  <c r="B23" i="3"/>
  <c r="E22" i="3"/>
  <c r="D22" i="3"/>
  <c r="C22" i="3"/>
  <c r="B22" i="3"/>
  <c r="F22" i="3" s="1"/>
  <c r="E21" i="3"/>
  <c r="D21" i="3"/>
  <c r="C21" i="3"/>
  <c r="B21" i="3"/>
  <c r="F21" i="3" s="1"/>
  <c r="E20" i="3"/>
  <c r="D20" i="3"/>
  <c r="F20" i="3" s="1"/>
  <c r="C20" i="3"/>
  <c r="B20" i="3"/>
  <c r="E19" i="3"/>
  <c r="D19" i="3"/>
  <c r="C19" i="3"/>
  <c r="B19" i="3"/>
  <c r="F19" i="3" s="1"/>
  <c r="F18" i="3"/>
  <c r="E18" i="3"/>
  <c r="D18" i="3"/>
  <c r="C18" i="3"/>
  <c r="B18" i="3"/>
  <c r="F14" i="3"/>
  <c r="E14" i="3"/>
  <c r="D14" i="3"/>
  <c r="C14" i="3"/>
  <c r="B14" i="3"/>
  <c r="I23" i="1"/>
</calcChain>
</file>

<file path=xl/sharedStrings.xml><?xml version="1.0" encoding="utf-8"?>
<sst xmlns="http://schemas.openxmlformats.org/spreadsheetml/2006/main" count="197" uniqueCount="155">
  <si>
    <t>TAYYIBT HOMES — FREELANCE DEVELOPMENT COST ESTIMATE (EGYPT)</t>
  </si>
  <si>
    <t>All rates in USD · Egyptian freelance market · June 2026</t>
  </si>
  <si>
    <t>PROJECT OVERVIEW</t>
  </si>
  <si>
    <t>Project</t>
  </si>
  <si>
    <t>Tayyibt Homes — Real Estate &amp; Location Intelligence Module</t>
  </si>
  <si>
    <t>Platform</t>
  </si>
  <si>
    <t>NestJS API · Next.js Web · Flutter Mobile · FastAPI AI</t>
  </si>
  <si>
    <t>Duration</t>
  </si>
  <si>
    <t>24 Weeks  (4 phases × 6 weeks each)</t>
  </si>
  <si>
    <t>Team Location</t>
  </si>
  <si>
    <t>Egypt (Remote Freelancers)</t>
  </si>
  <si>
    <t>Currency</t>
  </si>
  <si>
    <t>USD — Egyptian market international rates</t>
  </si>
  <si>
    <t>COST SUMMARY — THREE TEAM OPTIONS</t>
  </si>
  <si>
    <t>Team Option</t>
  </si>
  <si>
    <t>Profile</t>
  </si>
  <si>
    <t>Total Hours</t>
  </si>
  <si>
    <t>Avg Rate ($/hr)</t>
  </si>
  <si>
    <t>Phase 1</t>
  </si>
  <si>
    <t>Phase 2</t>
  </si>
  <si>
    <t>Phase 3</t>
  </si>
  <si>
    <t>Phase 4</t>
  </si>
  <si>
    <t>TOTAL COST</t>
  </si>
  <si>
    <t>Budget Team</t>
  </si>
  <si>
    <t>Mid-level only</t>
  </si>
  <si>
    <t>Balanced Team</t>
  </si>
  <si>
    <t>Senior + Mid mix</t>
  </si>
  <si>
    <t>Premium Team</t>
  </si>
  <si>
    <t>Senior specialists</t>
  </si>
  <si>
    <t>PHASE TIMELINE</t>
  </si>
  <si>
    <t>Phase</t>
  </si>
  <si>
    <t>Weeks</t>
  </si>
  <si>
    <t>Scope</t>
  </si>
  <si>
    <t>Key Deliverables</t>
  </si>
  <si>
    <t>Backend</t>
  </si>
  <si>
    <t>Frontend</t>
  </si>
  <si>
    <t>Flutter</t>
  </si>
  <si>
    <t>AI/Python</t>
  </si>
  <si>
    <t>Total Hrs</t>
  </si>
  <si>
    <t>1–6</t>
  </si>
  <si>
    <t>Foundation</t>
  </si>
  <si>
    <t>DB schema, auth, basic map embed, dev portal application</t>
  </si>
  <si>
    <t>7–12</t>
  </si>
  <si>
    <t>Listings &amp; Map</t>
  </si>
  <si>
    <t>Live map pins, listing CRUD, mobile map screen, save feature</t>
  </si>
  <si>
    <t>13–18</t>
  </si>
  <si>
    <t>AI Engine</t>
  </si>
  <si>
    <t>Location AI suggestions, couple-alignment score, heatmap</t>
  </si>
  <si>
    <t>19–24</t>
  </si>
  <si>
    <t>Future Vision &amp; Analytics</t>
  </si>
  <si>
    <t>Timeline slider, dev analytics dashboard, monetisation</t>
  </si>
  <si>
    <t>TOTAL</t>
  </si>
  <si>
    <t>Notes: Hours above cover Backend + Frontend + Flutter + AI only. QA (160h), UI/UX (130h), DevOps (70h), PM (120h) are included in full cost sheets.</t>
  </si>
  <si>
    <t>EGYPTIAN FREELANCE DEVELOPER RATES — BY ROLE &amp; SENIORITY</t>
  </si>
  <si>
    <t>Market rates sourced from Upwork, Mostaql, LinkedIn Egypt, and direct market surveys · June 2026 · USD/hour</t>
  </si>
  <si>
    <t>Role</t>
  </si>
  <si>
    <t>Skill / Stack</t>
  </si>
  <si>
    <t>Junior ($/hr)</t>
  </si>
  <si>
    <t>Mid-level ($/hr)</t>
  </si>
  <si>
    <t>Senior ($/hr)</t>
  </si>
  <si>
    <t>Budget Rate Used</t>
  </si>
  <si>
    <t>Balanced Rate Used</t>
  </si>
  <si>
    <t>Premium Rate Used</t>
  </si>
  <si>
    <t>Backend Developer</t>
  </si>
  <si>
    <t>NestJS · TypeScript · PostgreSQL · Redis</t>
  </si>
  <si>
    <t>Frontend Developer</t>
  </si>
  <si>
    <t>Next.js · React · Tailwind CSS</t>
  </si>
  <si>
    <t>Mobile Developer</t>
  </si>
  <si>
    <t>Flutter · Dart · Riverpod · Maps SDK</t>
  </si>
  <si>
    <t>AI / Python Developer</t>
  </si>
  <si>
    <t>FastAPI · scikit-learn · NumPy · GeoPandas</t>
  </si>
  <si>
    <t>UI/UX Designer</t>
  </si>
  <si>
    <t>Figma · Mobile &amp; Web · Map UI</t>
  </si>
  <si>
    <t>DevOps Engineer</t>
  </si>
  <si>
    <t>Docker · Nginx · GitHub Actions · AWS</t>
  </si>
  <si>
    <t>QA Engineer</t>
  </si>
  <si>
    <t>Postman · Cypress · Flutter test</t>
  </si>
  <si>
    <t>Project Manager</t>
  </si>
  <si>
    <t>Agile · Scrum · Technical PM</t>
  </si>
  <si>
    <t>LEGEND</t>
  </si>
  <si>
    <t>Blue rate</t>
  </si>
  <si>
    <t>Mid-level freelancers only — lowest cost, suitable for MVP / tight budget</t>
  </si>
  <si>
    <t>Orange rate</t>
  </si>
  <si>
    <t>Mix of senior leads + mid-level devs — best value for quality delivery</t>
  </si>
  <si>
    <t>Dark red rate</t>
  </si>
  <si>
    <t>Senior specialists across all roles — highest quality, fastest delivery</t>
  </si>
  <si>
    <t>Source: Upwork Egypt profiles, Mostaql.com, LinkedIn Egypt job posts, direct community surveys — June 2026. Rates reflect experienced remote-capable freelancers, not absolute market minimum.</t>
  </si>
  <si>
    <t>HOURS BREAKDOWN BY PHASE &amp; ROLE</t>
  </si>
  <si>
    <t>Hours estimated for each role across all four delivery phases</t>
  </si>
  <si>
    <t>Phase 1
(Wks 1–6)
Foundation</t>
  </si>
  <si>
    <t>Phase 2
(Wks 7–12)
Listings &amp; Map</t>
  </si>
  <si>
    <t>Phase 3
(Wks 13–18)
AI Engine</t>
  </si>
  <si>
    <t>Phase 4
(Wks 19–24)
Future Vision</t>
  </si>
  <si>
    <t>TOTAL
HOURS</t>
  </si>
  <si>
    <t>Mobile (Flutter) Developer</t>
  </si>
  <si>
    <t>TOTAL HOURS</t>
  </si>
  <si>
    <t>PHASE WORKLOAD DISTRIBUTION (% of total hours per role)</t>
  </si>
  <si>
    <t>Phase 1 %</t>
  </si>
  <si>
    <t>Phase 2 %</t>
  </si>
  <si>
    <t>Phase 3 %</t>
  </si>
  <si>
    <t>Phase 4 %</t>
  </si>
  <si>
    <t>Check</t>
  </si>
  <si>
    <t>DETAILED COST BREAKDOWN — ALL THREE TEAM OPTIONS</t>
  </si>
  <si>
    <t>Cost = Hours × Hourly Rate per role · Rates from 'Roles &amp; Rates' sheet · All figures in USD</t>
  </si>
  <si>
    <t>P1 Hrs</t>
  </si>
  <si>
    <t>P2 Hrs</t>
  </si>
  <si>
    <t>P3 Hrs</t>
  </si>
  <si>
    <t>P4 Hrs</t>
  </si>
  <si>
    <t>Budget
Rate</t>
  </si>
  <si>
    <t>Budget
Cost</t>
  </si>
  <si>
    <t>Balanced
Rate</t>
  </si>
  <si>
    <t>Balanced
Cost</t>
  </si>
  <si>
    <t>Premium
Rate</t>
  </si>
  <si>
    <t>Premium
Cost</t>
  </si>
  <si>
    <t>COST BY PHASE</t>
  </si>
  <si>
    <t>Description</t>
  </si>
  <si>
    <t>Hours</t>
  </si>
  <si>
    <t>Budget Cost</t>
  </si>
  <si>
    <t>Balanced Cost</t>
  </si>
  <si>
    <t>Premium Cost</t>
  </si>
  <si>
    <t>Foundation (Wks 1–6)</t>
  </si>
  <si>
    <t>Listings &amp; Map (Wks 7–12)</t>
  </si>
  <si>
    <t>AI Engine (Wks 13–18)</t>
  </si>
  <si>
    <t>Future Vision &amp; Analytics (Wks 19–24)</t>
  </si>
  <si>
    <t>GRAND TOTAL</t>
  </si>
  <si>
    <t>All 24 Weeks</t>
  </si>
  <si>
    <t>TEAM RECOMMENDATION &amp; RISK NOTES</t>
  </si>
  <si>
    <t>RECOMMENDED: Balanced Team  ·  Estimated Total: ~$51,330 USD</t>
  </si>
  <si>
    <t>Why Balanced?</t>
  </si>
  <si>
    <t>The Balanced Team uses senior developers as technical leads on the most complex components (AI engine, map integration, NestJS architecture) while mid-level developers handle routine CRUD, UI screens, and testing. This gives you quality output at roughly 40% less than an all-senior team, with manageable risk.</t>
  </si>
  <si>
    <t>Suggested Team Composition</t>
  </si>
  <si>
    <t>1 Senior Backend (NestJS lead) · 1 Mid Frontend (Next.js) · 1 Mid Flutter · 1 Senior AI/Python (location engine) · 1 Mid UI/UX · 1 Mid DevOps (part-time) · 1 Junior-Mid QA · 1 Part-time PM</t>
  </si>
  <si>
    <t>How to hire in Egypt</t>
  </si>
  <si>
    <t>Best platforms: Upwork (Egyptian profiles, filter by 90%+ JSS), Mostaql.com (Arabic platform, strong for Egyptian devs), LinkedIn Egypt. Always request a paid 2–3 hour test task before committing to a long engagement.</t>
  </si>
  <si>
    <t>BUDGET OPTION  ·  ~$37,620 USD — When to choose</t>
  </si>
  <si>
    <t>Suitable if</t>
  </si>
  <si>
    <t>You have a tight runway and need to launch Phase 1–2 only (map + listings). Avoid using Budget Team for the AI Engine phase (Phase 3) — the location intelligence logic is complex and under-experienced Python devs will create technical debt.</t>
  </si>
  <si>
    <t>Risk</t>
  </si>
  <si>
    <t>Slower velocity, more bugs, more review cycles. Budget ~20% extra time buffer.</t>
  </si>
  <si>
    <t>PREMIUM OPTION  ·  ~$71,850 USD — When to choose</t>
  </si>
  <si>
    <t>Time-to-market is critical (e.g., investor demo in 4 months) or you need enterprise-grade code quality from day one with minimal supervision overhead.</t>
  </si>
  <si>
    <t>Highest cost. Harder to find 8 senior Egyptian freelancers simultaneously — expect 3–4 weeks of sourcing time. Consider a hybrid: senior for AI + Balanced elsewhere.</t>
  </si>
  <si>
    <t>CONTINGENCY &amp; HIDDEN COSTS</t>
  </si>
  <si>
    <t>Buffer</t>
  </si>
  <si>
    <t>Add 15–20% contingency for scope creep and revision cycles.</t>
  </si>
  <si>
    <t>Map API costs</t>
  </si>
  <si>
    <t>Mapbox: ~$0.50/1,000 tile requests. Budget $200–500/month for dev + staging.</t>
  </si>
  <si>
    <t>Third-party APIs</t>
  </si>
  <si>
    <t>Google Maps Platform or Mapbox GL JS license. Budget $100–300/month prod.</t>
  </si>
  <si>
    <t>Infrastructure</t>
  </si>
  <si>
    <t>Existing Docker/VPS setup covers this — minimal additional cost.</t>
  </si>
  <si>
    <t>Legal / Contracts</t>
  </si>
  <si>
    <t>Use a written contract with milestone-based payments. Egyptian freelancers commonly accept 30% upfront / 70% on delivery per phase.</t>
  </si>
  <si>
    <t>Payment</t>
  </si>
  <si>
    <t>Wise (TransferWise) or PayPal are most common for USD → Egypt remittance.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</si>
</sst>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.00"/>
    <numFmt numFmtId="165" formatCode="\$#,##0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B7280"/>
      <name val="Arial"/>
      <charset val="1"/>
    </font>
    <font>
      <b/>
      <sz val="10"/>
      <color rgb="FFFFFFFF"/>
      <name val="Arial"/>
      <charset val="1"/>
    </font>
    <font>
      <b/>
      <sz val="10"/>
      <color rgb="FF1A3A5C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C0392B"/>
      <name val="Arial"/>
      <charset val="1"/>
    </font>
    <font>
      <b/>
      <sz val="10"/>
      <color rgb="FF000000"/>
      <name val="Arial"/>
      <charset val="1"/>
    </font>
    <font>
      <i/>
      <sz val="9"/>
      <color rgb="FF6B7280"/>
      <name val="Arial"/>
      <charset val="1"/>
    </font>
    <font>
      <b/>
      <sz val="13"/>
      <color rgb="FFFFFFFF"/>
      <name val="Arial"/>
      <charset val="1"/>
    </font>
    <font>
      <sz val="10"/>
      <color rgb="FF6B7280"/>
      <name val="Arial"/>
      <charset val="1"/>
    </font>
    <font>
      <b/>
      <sz val="10"/>
      <color rgb="FF0000FF"/>
      <name val="Arial"/>
      <charset val="1"/>
    </font>
    <font>
      <b/>
      <sz val="10"/>
      <color rgb="FFFF8C00"/>
      <name val="Arial"/>
      <charset val="1"/>
    </font>
    <font>
      <b/>
      <sz val="10"/>
      <color rgb="FF8B0000"/>
      <name val="Arial"/>
      <charset val="1"/>
    </font>
    <font>
      <b/>
      <sz val="9"/>
      <color rgb="FFFFFFFF"/>
      <name val="Arial"/>
      <charset val="1"/>
    </font>
    <font>
      <b/>
      <sz val="10"/>
      <color rgb="FF006400"/>
      <name val="Arial"/>
      <charset val="1"/>
    </font>
    <font>
      <sz val="10"/>
      <color rgb="FFFF8C00"/>
      <name val="Arial"/>
      <charset val="1"/>
    </font>
    <font>
      <sz val="10"/>
      <color rgb="FF8B0000"/>
      <name val="Arial"/>
      <charset val="1"/>
    </font>
    <font>
      <b/>
      <sz val="11"/>
      <color rgb="FFFFFFFF"/>
      <name val="Arial"/>
      <charset val="1"/>
    </font>
    <font>
      <b/>
      <sz val="9"/>
      <color rgb="FF1A3A5C"/>
      <name val="Arial"/>
      <charset val="1"/>
    </font>
    <font>
      <sz val="9"/>
      <color rgb="FF0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2F4F7"/>
        <bgColor rgb="FFEBF5FB"/>
      </patternFill>
    </fill>
    <fill>
      <patternFill patternType="solid">
        <fgColor rgb="FF0D7377"/>
        <bgColor rgb="FF008080"/>
      </patternFill>
    </fill>
    <fill>
      <patternFill patternType="solid">
        <fgColor rgb="FFD6DAE4"/>
        <bgColor rgb="FFD6EAF8"/>
      </patternFill>
    </fill>
    <fill>
      <patternFill patternType="solid">
        <fgColor rgb="FFE8F5E9"/>
        <bgColor rgb="FFEBF5FB"/>
      </patternFill>
    </fill>
    <fill>
      <patternFill patternType="solid">
        <fgColor rgb="FFFFF8E1"/>
        <bgColor rgb="FFFEF9E7"/>
      </patternFill>
    </fill>
    <fill>
      <patternFill patternType="solid">
        <fgColor rgb="FFFCE4EC"/>
        <bgColor rgb="FFFDEDE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E8F5E9"/>
      </patternFill>
    </fill>
    <fill>
      <patternFill patternType="solid">
        <fgColor rgb="FFFCF3CF"/>
        <bgColor rgb="FFFFF8E1"/>
      </patternFill>
    </fill>
    <fill>
      <patternFill patternType="solid">
        <fgColor rgb="FFFADBD8"/>
        <bgColor rgb="FFFCE4EC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F2F4F7"/>
      </patternFill>
    </fill>
    <fill>
      <patternFill patternType="solid">
        <fgColor rgb="FFFEF9E7"/>
        <bgColor rgb="FFFFF8E1"/>
      </patternFill>
    </fill>
    <fill>
      <patternFill patternType="solid">
        <fgColor rgb="FFFDEDEC"/>
        <bgColor rgb="FFFCE4E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3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/>
    </xf>
    <xf numFmtId="0" fontId="5" fillId="3" borderId="2" xfId="0" applyFont="1" applyFill="1" applyBorder="1"/>
    <xf numFmtId="0" fontId="8" fillId="3" borderId="2" xfId="0" applyFont="1" applyFill="1" applyBorder="1"/>
    <xf numFmtId="0" fontId="9" fillId="3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3" fontId="5" fillId="9" borderId="1" xfId="0" applyNumberFormat="1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3" fontId="5" fillId="10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3" fontId="5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3" fontId="5" fillId="12" borderId="1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5" fontId="11" fillId="3" borderId="1" xfId="0" applyNumberFormat="1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165" fontId="11" fillId="13" borderId="1" xfId="0" applyNumberFormat="1" applyFont="1" applyFill="1" applyBorder="1" applyAlignment="1">
      <alignment horizontal="center" vertical="center"/>
    </xf>
    <xf numFmtId="165" fontId="12" fillId="13" borderId="1" xfId="0" applyNumberFormat="1" applyFont="1" applyFill="1" applyBorder="1" applyAlignment="1">
      <alignment horizontal="center" vertical="center"/>
    </xf>
    <xf numFmtId="165" fontId="13" fillId="13" borderId="1" xfId="0" applyNumberFormat="1" applyFont="1" applyFill="1" applyBorder="1" applyAlignment="1">
      <alignment horizontal="center" vertical="center"/>
    </xf>
    <xf numFmtId="165" fontId="14" fillId="1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/>
    <xf numFmtId="0" fontId="15" fillId="2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3" fontId="8" fillId="3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9" fontId="5" fillId="13" borderId="1" xfId="0" applyNumberFormat="1" applyFont="1" applyFill="1" applyBorder="1" applyAlignment="1">
      <alignment horizontal="center" vertical="center"/>
    </xf>
    <xf numFmtId="9" fontId="16" fillId="13" borderId="1" xfId="0" applyNumberFormat="1" applyFont="1" applyFill="1" applyBorder="1" applyAlignment="1">
      <alignment horizontal="center" vertical="center"/>
    </xf>
    <xf numFmtId="165" fontId="6" fillId="14" borderId="1" xfId="0" applyNumberFormat="1" applyFont="1" applyFill="1" applyBorder="1" applyAlignment="1">
      <alignment horizontal="center" vertical="center"/>
    </xf>
    <xf numFmtId="165" fontId="12" fillId="14" borderId="1" xfId="0" applyNumberFormat="1" applyFont="1" applyFill="1" applyBorder="1" applyAlignment="1">
      <alignment horizontal="center" vertical="center"/>
    </xf>
    <xf numFmtId="165" fontId="17" fillId="15" borderId="1" xfId="0" applyNumberFormat="1" applyFont="1" applyFill="1" applyBorder="1" applyAlignment="1">
      <alignment horizontal="center" vertical="center"/>
    </xf>
    <xf numFmtId="165" fontId="13" fillId="15" borderId="1" xfId="0" applyNumberFormat="1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165" fontId="14" fillId="16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5" fontId="12" fillId="9" borderId="1" xfId="0" applyNumberFormat="1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165" fontId="1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65" fontId="12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5" fontId="1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165" fontId="12" fillId="11" borderId="1" xfId="0" applyNumberFormat="1" applyFont="1" applyFill="1" applyBorder="1" applyAlignment="1">
      <alignment horizontal="center" vertical="center"/>
    </xf>
    <xf numFmtId="165" fontId="13" fillId="11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165" fontId="12" fillId="12" borderId="1" xfId="0" applyNumberFormat="1" applyFont="1" applyFill="1" applyBorder="1" applyAlignment="1">
      <alignment horizontal="center" vertical="center"/>
    </xf>
    <xf numFmtId="165" fontId="13" fillId="12" borderId="1" xfId="0" applyNumberFormat="1" applyFont="1" applyFill="1" applyBorder="1" applyAlignment="1">
      <alignment horizontal="center" vertical="center"/>
    </xf>
    <xf numFmtId="165" fontId="14" fillId="1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B0000"/>
      <rgbColor rgb="FF006400"/>
      <rgbColor rgb="FF000080"/>
      <rgbColor rgb="FF808000"/>
      <rgbColor rgb="FF800080"/>
      <rgbColor rgb="FF0D7377"/>
      <rgbColor rgb="FFBBBBBB"/>
      <rgbColor rgb="FF808080"/>
      <rgbColor rgb="FF9999FF"/>
      <rgbColor rgb="FF993366"/>
      <rgbColor rgb="FFFFF8E1"/>
      <rgbColor rgb="FFD6EAF8"/>
      <rgbColor rgb="FF660066"/>
      <rgbColor rgb="FFFF8080"/>
      <rgbColor rgb="FF0066CC"/>
      <rgbColor rgb="FFD6DAE4"/>
      <rgbColor rgb="FF000080"/>
      <rgbColor rgb="FFFF00FF"/>
      <rgbColor rgb="FFF2F4F7"/>
      <rgbColor rgb="FF00FFFF"/>
      <rgbColor rgb="FF800080"/>
      <rgbColor rgb="FF800000"/>
      <rgbColor rgb="FF008080"/>
      <rgbColor rgb="FF0000FF"/>
      <rgbColor rgb="FF00CCFF"/>
      <rgbColor rgb="FFE8F5E9"/>
      <rgbColor rgb="FFD5F5E3"/>
      <rgbColor rgb="FFFCF3CF"/>
      <rgbColor rgb="FFEBF5FB"/>
      <rgbColor rgb="FFFCE4EC"/>
      <rgbColor rgb="FFFDEDEC"/>
      <rgbColor rgb="FFFADBD8"/>
      <rgbColor rgb="FF3366FF"/>
      <rgbColor rgb="FF33CCCC"/>
      <rgbColor rgb="FF99CC00"/>
      <rgbColor rgb="FFFFCC00"/>
      <rgbColor rgb="FFFF8C00"/>
      <rgbColor rgb="FFFF6600"/>
      <rgbColor rgb="FF6B7280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zoomScaleNormal="100" workbookViewId="0">
      <selection activeCell="I14" sqref="I14"/>
    </sheetView>
  </sheetViews>
  <sheetFormatPr defaultColWidth="8.6640625" defaultRowHeight="14.4" x14ac:dyDescent="0.3"/>
  <cols>
    <col min="1" max="1" width="14.33203125" bestFit="1" customWidth="1"/>
    <col min="2" max="2" width="15.33203125" bestFit="1" customWidth="1"/>
    <col min="3" max="3" width="21.77734375" bestFit="1" customWidth="1"/>
    <col min="4" max="4" width="52" bestFit="1" customWidth="1"/>
    <col min="5" max="5" width="8.5546875" bestFit="1" customWidth="1"/>
    <col min="6" max="6" width="9" bestFit="1" customWidth="1"/>
    <col min="7" max="7" width="7.88671875" bestFit="1" customWidth="1"/>
    <col min="8" max="8" width="9.44140625" bestFit="1" customWidth="1"/>
    <col min="9" max="9" width="12.6640625" bestFit="1" customWidth="1"/>
  </cols>
  <sheetData>
    <row r="1" spans="1:9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7.5" customHeight="1" x14ac:dyDescent="0.3"/>
    <row r="4" spans="1:9" ht="19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</row>
    <row r="5" spans="1:9" ht="18" customHeight="1" x14ac:dyDescent="0.3">
      <c r="A5" s="15" t="s">
        <v>3</v>
      </c>
      <c r="B5" s="11" t="s">
        <v>4</v>
      </c>
      <c r="C5" s="11"/>
      <c r="D5" s="11"/>
      <c r="E5" s="11"/>
      <c r="F5" s="11"/>
      <c r="G5" s="11"/>
      <c r="H5" s="11"/>
      <c r="I5" s="11"/>
    </row>
    <row r="6" spans="1:9" ht="18" customHeight="1" x14ac:dyDescent="0.3">
      <c r="A6" s="15" t="s">
        <v>5</v>
      </c>
      <c r="B6" s="11" t="s">
        <v>6</v>
      </c>
      <c r="C6" s="11"/>
      <c r="D6" s="11"/>
      <c r="E6" s="11"/>
      <c r="F6" s="11"/>
      <c r="G6" s="11"/>
      <c r="H6" s="11"/>
      <c r="I6" s="11"/>
    </row>
    <row r="7" spans="1:9" ht="18" customHeight="1" x14ac:dyDescent="0.3">
      <c r="A7" s="15" t="s">
        <v>7</v>
      </c>
      <c r="B7" s="11" t="s">
        <v>8</v>
      </c>
      <c r="C7" s="11"/>
      <c r="D7" s="11"/>
      <c r="E7" s="11"/>
      <c r="F7" s="11"/>
      <c r="G7" s="11"/>
      <c r="H7" s="11"/>
      <c r="I7" s="11"/>
    </row>
    <row r="8" spans="1:9" ht="18" customHeight="1" x14ac:dyDescent="0.3">
      <c r="A8" s="15" t="s">
        <v>9</v>
      </c>
      <c r="B8" s="11" t="s">
        <v>10</v>
      </c>
      <c r="C8" s="11"/>
      <c r="D8" s="11"/>
      <c r="E8" s="11"/>
      <c r="F8" s="11"/>
      <c r="G8" s="11"/>
      <c r="H8" s="11"/>
      <c r="I8" s="11"/>
    </row>
    <row r="9" spans="1:9" ht="18" customHeight="1" x14ac:dyDescent="0.3">
      <c r="A9" s="15" t="s">
        <v>11</v>
      </c>
      <c r="B9" s="11" t="s">
        <v>12</v>
      </c>
      <c r="C9" s="11"/>
      <c r="D9" s="11"/>
      <c r="E9" s="11"/>
      <c r="F9" s="11"/>
      <c r="G9" s="11"/>
      <c r="H9" s="11"/>
      <c r="I9" s="11"/>
    </row>
    <row r="10" spans="1:9" ht="7.5" customHeight="1" x14ac:dyDescent="0.3"/>
    <row r="11" spans="1:9" ht="19.5" customHeight="1" x14ac:dyDescent="0.3">
      <c r="A11" s="12" t="s">
        <v>13</v>
      </c>
      <c r="B11" s="12"/>
      <c r="C11" s="12"/>
      <c r="D11" s="12"/>
      <c r="E11" s="12"/>
      <c r="F11" s="12"/>
      <c r="G11" s="12"/>
      <c r="H11" s="12"/>
      <c r="I11" s="12"/>
    </row>
    <row r="12" spans="1:9" ht="21.75" customHeight="1" x14ac:dyDescent="0.3">
      <c r="A12" s="16" t="s">
        <v>14</v>
      </c>
      <c r="B12" s="16" t="s">
        <v>15</v>
      </c>
      <c r="C12" s="16" t="s">
        <v>16</v>
      </c>
      <c r="D12" s="16" t="s">
        <v>17</v>
      </c>
      <c r="E12" s="16" t="s">
        <v>18</v>
      </c>
      <c r="F12" s="16" t="s">
        <v>19</v>
      </c>
      <c r="G12" s="16" t="s">
        <v>20</v>
      </c>
      <c r="H12" s="16" t="s">
        <v>21</v>
      </c>
      <c r="I12" s="16" t="s">
        <v>22</v>
      </c>
    </row>
    <row r="13" spans="1:9" ht="21.75" customHeight="1" x14ac:dyDescent="0.3">
      <c r="A13" s="17" t="s">
        <v>23</v>
      </c>
      <c r="B13" s="18" t="s">
        <v>24</v>
      </c>
      <c r="C13" s="19">
        <v>1720</v>
      </c>
      <c r="D13" s="20">
        <v>22</v>
      </c>
      <c r="E13" s="21">
        <v>7810</v>
      </c>
      <c r="F13" s="21">
        <v>10010</v>
      </c>
      <c r="G13" s="21">
        <v>9240</v>
      </c>
      <c r="H13" s="21">
        <v>10560</v>
      </c>
      <c r="I13" s="22">
        <v>37620</v>
      </c>
    </row>
    <row r="14" spans="1:9" ht="21.75" customHeight="1" x14ac:dyDescent="0.3">
      <c r="A14" s="23" t="s">
        <v>25</v>
      </c>
      <c r="B14" s="24" t="s">
        <v>26</v>
      </c>
      <c r="C14" s="25">
        <v>1720</v>
      </c>
      <c r="D14" s="26">
        <v>30</v>
      </c>
      <c r="E14" s="27">
        <v>10650</v>
      </c>
      <c r="F14" s="27">
        <v>13680</v>
      </c>
      <c r="G14" s="27">
        <v>12600</v>
      </c>
      <c r="H14" s="27">
        <v>14400</v>
      </c>
      <c r="I14" s="28">
        <v>51330</v>
      </c>
    </row>
    <row r="15" spans="1:9" ht="21.75" customHeight="1" x14ac:dyDescent="0.3">
      <c r="A15" s="29" t="s">
        <v>27</v>
      </c>
      <c r="B15" s="30" t="s">
        <v>28</v>
      </c>
      <c r="C15" s="31">
        <v>1720</v>
      </c>
      <c r="D15" s="32">
        <v>42</v>
      </c>
      <c r="E15" s="33">
        <v>14910</v>
      </c>
      <c r="F15" s="33">
        <v>19140</v>
      </c>
      <c r="G15" s="33">
        <v>17640</v>
      </c>
      <c r="H15" s="33">
        <v>20160</v>
      </c>
      <c r="I15" s="34">
        <v>71850</v>
      </c>
    </row>
    <row r="16" spans="1:9" ht="7.5" customHeight="1" x14ac:dyDescent="0.3"/>
    <row r="17" spans="1:9" ht="19.5" customHeight="1" x14ac:dyDescent="0.3">
      <c r="A17" s="12" t="s">
        <v>29</v>
      </c>
      <c r="B17" s="12"/>
      <c r="C17" s="12"/>
      <c r="D17" s="12"/>
      <c r="E17" s="12"/>
      <c r="F17" s="12"/>
      <c r="G17" s="12"/>
      <c r="H17" s="12"/>
      <c r="I17" s="12"/>
    </row>
    <row r="18" spans="1:9" ht="21.75" customHeight="1" x14ac:dyDescent="0.3">
      <c r="A18" s="16" t="s">
        <v>30</v>
      </c>
      <c r="B18" s="16" t="s">
        <v>31</v>
      </c>
      <c r="C18" s="16" t="s">
        <v>32</v>
      </c>
      <c r="D18" s="16" t="s">
        <v>33</v>
      </c>
      <c r="E18" s="16" t="s">
        <v>34</v>
      </c>
      <c r="F18" s="16" t="s">
        <v>35</v>
      </c>
      <c r="G18" s="16" t="s">
        <v>36</v>
      </c>
      <c r="H18" s="16" t="s">
        <v>37</v>
      </c>
      <c r="I18" s="16" t="s">
        <v>38</v>
      </c>
    </row>
    <row r="19" spans="1:9" ht="21.75" customHeight="1" x14ac:dyDescent="0.3">
      <c r="A19" s="35" t="s">
        <v>18</v>
      </c>
      <c r="B19" s="36" t="s">
        <v>39</v>
      </c>
      <c r="C19" s="37" t="s">
        <v>40</v>
      </c>
      <c r="D19" s="38" t="s">
        <v>41</v>
      </c>
      <c r="E19" s="39">
        <v>120</v>
      </c>
      <c r="F19" s="39">
        <v>60</v>
      </c>
      <c r="G19" s="39">
        <v>40</v>
      </c>
      <c r="H19" s="39">
        <v>20</v>
      </c>
      <c r="I19" s="40">
        <v>320</v>
      </c>
    </row>
    <row r="20" spans="1:9" ht="21.75" customHeight="1" x14ac:dyDescent="0.3">
      <c r="A20" s="41" t="s">
        <v>19</v>
      </c>
      <c r="B20" s="42" t="s">
        <v>42</v>
      </c>
      <c r="C20" s="43" t="s">
        <v>43</v>
      </c>
      <c r="D20" s="44" t="s">
        <v>44</v>
      </c>
      <c r="E20" s="45">
        <v>100</v>
      </c>
      <c r="F20" s="45">
        <v>100</v>
      </c>
      <c r="G20" s="45">
        <v>120</v>
      </c>
      <c r="H20" s="45">
        <v>20</v>
      </c>
      <c r="I20" s="46">
        <v>410</v>
      </c>
    </row>
    <row r="21" spans="1:9" ht="21.75" customHeight="1" x14ac:dyDescent="0.3">
      <c r="A21" s="47" t="s">
        <v>20</v>
      </c>
      <c r="B21" s="48" t="s">
        <v>45</v>
      </c>
      <c r="C21" s="49" t="s">
        <v>46</v>
      </c>
      <c r="D21" s="50" t="s">
        <v>47</v>
      </c>
      <c r="E21" s="51">
        <v>60</v>
      </c>
      <c r="F21" s="51">
        <v>80</v>
      </c>
      <c r="G21" s="51">
        <v>80</v>
      </c>
      <c r="H21" s="51">
        <v>120</v>
      </c>
      <c r="I21" s="52">
        <v>400</v>
      </c>
    </row>
    <row r="22" spans="1:9" ht="21.75" customHeight="1" x14ac:dyDescent="0.3">
      <c r="A22" s="53" t="s">
        <v>21</v>
      </c>
      <c r="B22" s="54" t="s">
        <v>48</v>
      </c>
      <c r="C22" s="55" t="s">
        <v>49</v>
      </c>
      <c r="D22" s="56" t="s">
        <v>50</v>
      </c>
      <c r="E22" s="57">
        <v>80</v>
      </c>
      <c r="F22" s="57">
        <v>100</v>
      </c>
      <c r="G22" s="57">
        <v>80</v>
      </c>
      <c r="H22" s="57">
        <v>60</v>
      </c>
      <c r="I22" s="58">
        <v>440</v>
      </c>
    </row>
    <row r="23" spans="1:9" ht="21.75" customHeight="1" x14ac:dyDescent="0.3">
      <c r="A23" s="16" t="s">
        <v>51</v>
      </c>
      <c r="B23" s="16"/>
      <c r="C23" s="16"/>
      <c r="D23" s="16"/>
      <c r="E23" s="59">
        <v>360</v>
      </c>
      <c r="F23" s="59">
        <v>340</v>
      </c>
      <c r="G23" s="59">
        <v>320</v>
      </c>
      <c r="H23" s="59">
        <v>220</v>
      </c>
      <c r="I23" s="59">
        <f>SUM(I19:I22)</f>
        <v>1570</v>
      </c>
    </row>
    <row r="24" spans="1:9" ht="7.5" customHeight="1" x14ac:dyDescent="0.3"/>
    <row r="25" spans="1:9" ht="30" customHeight="1" x14ac:dyDescent="0.3">
      <c r="A25" s="10" t="s">
        <v>52</v>
      </c>
      <c r="B25" s="10"/>
      <c r="C25" s="10"/>
      <c r="D25" s="10"/>
      <c r="E25" s="10"/>
      <c r="F25" s="10"/>
      <c r="G25" s="10"/>
      <c r="H25" s="10"/>
      <c r="I25" s="10"/>
    </row>
  </sheetData>
  <mergeCells count="11">
    <mergeCell ref="A25:I25"/>
    <mergeCell ref="B7:I7"/>
    <mergeCell ref="B8:I8"/>
    <mergeCell ref="B9:I9"/>
    <mergeCell ref="A11:I11"/>
    <mergeCell ref="A17:I17"/>
    <mergeCell ref="A1:I1"/>
    <mergeCell ref="A2:I2"/>
    <mergeCell ref="A4:I4"/>
    <mergeCell ref="B5:I5"/>
    <mergeCell ref="B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0.109375" bestFit="1" customWidth="1"/>
    <col min="2" max="2" width="37.5546875" bestFit="1" customWidth="1"/>
    <col min="3" max="3" width="11.88671875" bestFit="1" customWidth="1"/>
    <col min="4" max="4" width="14" bestFit="1" customWidth="1"/>
    <col min="5" max="5" width="12" bestFit="1" customWidth="1"/>
    <col min="6" max="6" width="17" customWidth="1"/>
    <col min="7" max="7" width="18.77734375" bestFit="1" customWidth="1"/>
    <col min="8" max="8" width="18.44140625" bestFit="1" customWidth="1"/>
  </cols>
  <sheetData>
    <row r="1" spans="1:8" ht="31.5" customHeight="1" x14ac:dyDescent="0.3">
      <c r="A1" s="9" t="s">
        <v>53</v>
      </c>
      <c r="B1" s="9"/>
      <c r="C1" s="9"/>
      <c r="D1" s="9"/>
      <c r="E1" s="9"/>
      <c r="F1" s="9"/>
      <c r="G1" s="9"/>
      <c r="H1" s="9"/>
    </row>
    <row r="2" spans="1:8" ht="15.75" customHeight="1" x14ac:dyDescent="0.3">
      <c r="A2" s="8" t="s">
        <v>54</v>
      </c>
      <c r="B2" s="8"/>
      <c r="C2" s="8"/>
      <c r="D2" s="8"/>
      <c r="E2" s="8"/>
      <c r="F2" s="8"/>
      <c r="G2" s="8"/>
      <c r="H2" s="8"/>
    </row>
    <row r="3" spans="1:8" ht="7.5" customHeight="1" x14ac:dyDescent="0.3"/>
    <row r="4" spans="1:8" ht="21.75" customHeight="1" x14ac:dyDescent="0.3">
      <c r="A4" s="16" t="s">
        <v>55</v>
      </c>
      <c r="B4" s="16" t="s">
        <v>56</v>
      </c>
      <c r="C4" s="16" t="s">
        <v>57</v>
      </c>
      <c r="D4" s="16" t="s">
        <v>58</v>
      </c>
      <c r="E4" s="16" t="s">
        <v>59</v>
      </c>
      <c r="F4" s="16" t="s">
        <v>60</v>
      </c>
      <c r="G4" s="16" t="s">
        <v>61</v>
      </c>
      <c r="H4" s="16" t="s">
        <v>62</v>
      </c>
    </row>
    <row r="5" spans="1:8" ht="21.75" customHeight="1" x14ac:dyDescent="0.3">
      <c r="A5" s="60" t="s">
        <v>63</v>
      </c>
      <c r="B5" s="61" t="s">
        <v>64</v>
      </c>
      <c r="C5" s="62">
        <v>12</v>
      </c>
      <c r="D5" s="62">
        <v>22</v>
      </c>
      <c r="E5" s="62">
        <v>42</v>
      </c>
      <c r="F5" s="63">
        <v>22</v>
      </c>
      <c r="G5" s="64">
        <v>32</v>
      </c>
      <c r="H5" s="65">
        <v>42</v>
      </c>
    </row>
    <row r="6" spans="1:8" ht="21.75" customHeight="1" x14ac:dyDescent="0.3">
      <c r="A6" s="66" t="s">
        <v>65</v>
      </c>
      <c r="B6" s="67" t="s">
        <v>66</v>
      </c>
      <c r="C6" s="68">
        <v>10</v>
      </c>
      <c r="D6" s="68">
        <v>20</v>
      </c>
      <c r="E6" s="68">
        <v>38</v>
      </c>
      <c r="F6" s="69">
        <v>20</v>
      </c>
      <c r="G6" s="70">
        <v>29</v>
      </c>
      <c r="H6" s="71">
        <v>38</v>
      </c>
    </row>
    <row r="7" spans="1:8" ht="21.75" customHeight="1" x14ac:dyDescent="0.3">
      <c r="A7" s="60" t="s">
        <v>67</v>
      </c>
      <c r="B7" s="61" t="s">
        <v>68</v>
      </c>
      <c r="C7" s="62">
        <v>12</v>
      </c>
      <c r="D7" s="62">
        <v>22</v>
      </c>
      <c r="E7" s="62">
        <v>40</v>
      </c>
      <c r="F7" s="63">
        <v>22</v>
      </c>
      <c r="G7" s="64">
        <v>31</v>
      </c>
      <c r="H7" s="65">
        <v>40</v>
      </c>
    </row>
    <row r="8" spans="1:8" ht="21.75" customHeight="1" x14ac:dyDescent="0.3">
      <c r="A8" s="66" t="s">
        <v>69</v>
      </c>
      <c r="B8" s="67" t="s">
        <v>70</v>
      </c>
      <c r="C8" s="68">
        <v>14</v>
      </c>
      <c r="D8" s="68">
        <v>25</v>
      </c>
      <c r="E8" s="68">
        <v>48</v>
      </c>
      <c r="F8" s="69">
        <v>25</v>
      </c>
      <c r="G8" s="70">
        <v>36</v>
      </c>
      <c r="H8" s="71">
        <v>48</v>
      </c>
    </row>
    <row r="9" spans="1:8" ht="21.75" customHeight="1" x14ac:dyDescent="0.3">
      <c r="A9" s="60" t="s">
        <v>71</v>
      </c>
      <c r="B9" s="61" t="s">
        <v>72</v>
      </c>
      <c r="C9" s="62">
        <v>10</v>
      </c>
      <c r="D9" s="62">
        <v>18</v>
      </c>
      <c r="E9" s="62">
        <v>32</v>
      </c>
      <c r="F9" s="63">
        <v>18</v>
      </c>
      <c r="G9" s="64">
        <v>25</v>
      </c>
      <c r="H9" s="65">
        <v>32</v>
      </c>
    </row>
    <row r="10" spans="1:8" ht="21.75" customHeight="1" x14ac:dyDescent="0.3">
      <c r="A10" s="66" t="s">
        <v>73</v>
      </c>
      <c r="B10" s="67" t="s">
        <v>74</v>
      </c>
      <c r="C10" s="68">
        <v>12</v>
      </c>
      <c r="D10" s="68">
        <v>22</v>
      </c>
      <c r="E10" s="68">
        <v>40</v>
      </c>
      <c r="F10" s="69">
        <v>22</v>
      </c>
      <c r="G10" s="70">
        <v>31</v>
      </c>
      <c r="H10" s="71">
        <v>40</v>
      </c>
    </row>
    <row r="11" spans="1:8" ht="21.75" customHeight="1" x14ac:dyDescent="0.3">
      <c r="A11" s="60" t="s">
        <v>75</v>
      </c>
      <c r="B11" s="61" t="s">
        <v>76</v>
      </c>
      <c r="C11" s="62">
        <v>8</v>
      </c>
      <c r="D11" s="62">
        <v>15</v>
      </c>
      <c r="E11" s="62">
        <v>28</v>
      </c>
      <c r="F11" s="63">
        <v>15</v>
      </c>
      <c r="G11" s="64">
        <v>21</v>
      </c>
      <c r="H11" s="65">
        <v>28</v>
      </c>
    </row>
    <row r="12" spans="1:8" ht="21.75" customHeight="1" x14ac:dyDescent="0.3">
      <c r="A12" s="66" t="s">
        <v>77</v>
      </c>
      <c r="B12" s="67" t="s">
        <v>78</v>
      </c>
      <c r="C12" s="68">
        <v>10</v>
      </c>
      <c r="D12" s="68">
        <v>18</v>
      </c>
      <c r="E12" s="68">
        <v>35</v>
      </c>
      <c r="F12" s="69">
        <v>18</v>
      </c>
      <c r="G12" s="70">
        <v>25</v>
      </c>
      <c r="H12" s="71">
        <v>35</v>
      </c>
    </row>
    <row r="13" spans="1:8" ht="7.5" customHeight="1" x14ac:dyDescent="0.3"/>
    <row r="14" spans="1:8" ht="18" customHeight="1" x14ac:dyDescent="0.3">
      <c r="A14" s="12" t="s">
        <v>79</v>
      </c>
      <c r="B14" s="12"/>
      <c r="C14" s="12"/>
      <c r="D14" s="12"/>
      <c r="E14" s="12"/>
      <c r="F14" s="12"/>
      <c r="G14" s="12"/>
      <c r="H14" s="12"/>
    </row>
    <row r="15" spans="1:8" ht="19.5" customHeight="1" x14ac:dyDescent="0.3">
      <c r="A15" s="72" t="s">
        <v>80</v>
      </c>
      <c r="B15" s="7" t="s">
        <v>23</v>
      </c>
      <c r="C15" s="7"/>
      <c r="D15" s="6" t="s">
        <v>81</v>
      </c>
      <c r="E15" s="6"/>
      <c r="F15" s="6"/>
      <c r="G15" s="6"/>
      <c r="H15" s="6"/>
    </row>
    <row r="16" spans="1:8" ht="19.5" customHeight="1" x14ac:dyDescent="0.3">
      <c r="A16" s="73" t="s">
        <v>82</v>
      </c>
      <c r="B16" s="7" t="s">
        <v>25</v>
      </c>
      <c r="C16" s="7"/>
      <c r="D16" s="6" t="s">
        <v>83</v>
      </c>
      <c r="E16" s="6"/>
      <c r="F16" s="6"/>
      <c r="G16" s="6"/>
      <c r="H16" s="6"/>
    </row>
    <row r="17" spans="1:8" ht="19.5" customHeight="1" x14ac:dyDescent="0.3">
      <c r="A17" s="74" t="s">
        <v>84</v>
      </c>
      <c r="B17" s="7" t="s">
        <v>27</v>
      </c>
      <c r="C17" s="7"/>
      <c r="D17" s="6" t="s">
        <v>85</v>
      </c>
      <c r="E17" s="6"/>
      <c r="F17" s="6"/>
      <c r="G17" s="6"/>
      <c r="H17" s="6"/>
    </row>
    <row r="18" spans="1:8" ht="7.5" customHeight="1" x14ac:dyDescent="0.3"/>
    <row r="19" spans="1:8" ht="30" customHeight="1" x14ac:dyDescent="0.3">
      <c r="A19" s="10" t="s">
        <v>86</v>
      </c>
      <c r="B19" s="10"/>
      <c r="C19" s="10"/>
      <c r="D19" s="10"/>
      <c r="E19" s="10"/>
      <c r="F19" s="10"/>
      <c r="G19" s="10"/>
      <c r="H19" s="10"/>
    </row>
  </sheetData>
  <mergeCells count="10">
    <mergeCell ref="B16:C16"/>
    <mergeCell ref="D16:H16"/>
    <mergeCell ref="B17:C17"/>
    <mergeCell ref="D17:H17"/>
    <mergeCell ref="A19:H19"/>
    <mergeCell ref="A1:H1"/>
    <mergeCell ref="A2:H2"/>
    <mergeCell ref="A14:H14"/>
    <mergeCell ref="B15:C15"/>
    <mergeCell ref="D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24" customWidth="1"/>
    <col min="2" max="2" width="16" customWidth="1"/>
    <col min="3" max="3" width="18" customWidth="1"/>
    <col min="4" max="4" width="16" customWidth="1"/>
    <col min="5" max="5" width="18" customWidth="1"/>
    <col min="6" max="6" width="14" customWidth="1"/>
  </cols>
  <sheetData>
    <row r="1" spans="1:11" ht="31.5" customHeight="1" x14ac:dyDescent="0.3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.75" customHeight="1" x14ac:dyDescent="0.3">
      <c r="A2" s="13" t="s">
        <v>88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7.5" customHeight="1" x14ac:dyDescent="0.3"/>
    <row r="4" spans="1:11" ht="43.5" customHeight="1" x14ac:dyDescent="0.3">
      <c r="A4" s="75" t="s">
        <v>55</v>
      </c>
      <c r="B4" s="75" t="s">
        <v>89</v>
      </c>
      <c r="C4" s="75" t="s">
        <v>90</v>
      </c>
      <c r="D4" s="75" t="s">
        <v>91</v>
      </c>
      <c r="E4" s="75" t="s">
        <v>92</v>
      </c>
      <c r="F4" s="75" t="s">
        <v>93</v>
      </c>
    </row>
    <row r="5" spans="1:11" ht="3.75" customHeight="1" x14ac:dyDescent="0.3">
      <c r="B5" s="76"/>
      <c r="C5" s="77"/>
      <c r="D5" s="78"/>
      <c r="E5" s="79"/>
    </row>
    <row r="6" spans="1:11" ht="19.5" customHeight="1" x14ac:dyDescent="0.3">
      <c r="A6" s="60" t="s">
        <v>63</v>
      </c>
      <c r="B6" s="39">
        <v>120</v>
      </c>
      <c r="C6" s="45">
        <v>100</v>
      </c>
      <c r="D6" s="51">
        <v>60</v>
      </c>
      <c r="E6" s="57">
        <v>80</v>
      </c>
      <c r="F6" s="80">
        <v>360</v>
      </c>
    </row>
    <row r="7" spans="1:11" ht="19.5" customHeight="1" x14ac:dyDescent="0.3">
      <c r="A7" s="66" t="s">
        <v>65</v>
      </c>
      <c r="B7" s="39">
        <v>60</v>
      </c>
      <c r="C7" s="45">
        <v>100</v>
      </c>
      <c r="D7" s="51">
        <v>80</v>
      </c>
      <c r="E7" s="57">
        <v>100</v>
      </c>
      <c r="F7" s="81">
        <v>340</v>
      </c>
    </row>
    <row r="8" spans="1:11" ht="19.5" customHeight="1" x14ac:dyDescent="0.3">
      <c r="A8" s="60" t="s">
        <v>94</v>
      </c>
      <c r="B8" s="39">
        <v>40</v>
      </c>
      <c r="C8" s="45">
        <v>120</v>
      </c>
      <c r="D8" s="51">
        <v>80</v>
      </c>
      <c r="E8" s="57">
        <v>80</v>
      </c>
      <c r="F8" s="80">
        <v>320</v>
      </c>
    </row>
    <row r="9" spans="1:11" ht="19.5" customHeight="1" x14ac:dyDescent="0.3">
      <c r="A9" s="66" t="s">
        <v>69</v>
      </c>
      <c r="B9" s="39">
        <v>20</v>
      </c>
      <c r="C9" s="45">
        <v>20</v>
      </c>
      <c r="D9" s="51">
        <v>120</v>
      </c>
      <c r="E9" s="57">
        <v>60</v>
      </c>
      <c r="F9" s="81">
        <v>220</v>
      </c>
    </row>
    <row r="10" spans="1:11" ht="19.5" customHeight="1" x14ac:dyDescent="0.3">
      <c r="A10" s="60" t="s">
        <v>71</v>
      </c>
      <c r="B10" s="39">
        <v>40</v>
      </c>
      <c r="C10" s="45">
        <v>40</v>
      </c>
      <c r="D10" s="51">
        <v>20</v>
      </c>
      <c r="E10" s="57">
        <v>30</v>
      </c>
      <c r="F10" s="80">
        <v>130</v>
      </c>
    </row>
    <row r="11" spans="1:11" ht="19.5" customHeight="1" x14ac:dyDescent="0.3">
      <c r="A11" s="66" t="s">
        <v>73</v>
      </c>
      <c r="B11" s="39">
        <v>20</v>
      </c>
      <c r="C11" s="45">
        <v>10</v>
      </c>
      <c r="D11" s="51">
        <v>10</v>
      </c>
      <c r="E11" s="57">
        <v>30</v>
      </c>
      <c r="F11" s="81">
        <v>70</v>
      </c>
    </row>
    <row r="12" spans="1:11" ht="19.5" customHeight="1" x14ac:dyDescent="0.3">
      <c r="A12" s="60" t="s">
        <v>75</v>
      </c>
      <c r="B12" s="39">
        <v>20</v>
      </c>
      <c r="C12" s="45">
        <v>40</v>
      </c>
      <c r="D12" s="51">
        <v>40</v>
      </c>
      <c r="E12" s="57">
        <v>60</v>
      </c>
      <c r="F12" s="80">
        <v>160</v>
      </c>
    </row>
    <row r="13" spans="1:11" ht="19.5" customHeight="1" x14ac:dyDescent="0.3">
      <c r="A13" s="66" t="s">
        <v>77</v>
      </c>
      <c r="B13" s="39">
        <v>30</v>
      </c>
      <c r="C13" s="45">
        <v>30</v>
      </c>
      <c r="D13" s="51">
        <v>30</v>
      </c>
      <c r="E13" s="57">
        <v>30</v>
      </c>
      <c r="F13" s="81">
        <v>120</v>
      </c>
    </row>
    <row r="14" spans="1:11" ht="21.75" customHeight="1" x14ac:dyDescent="0.3">
      <c r="A14" s="16" t="s">
        <v>95</v>
      </c>
      <c r="B14" s="59">
        <f>SUM(B6:B13)</f>
        <v>350</v>
      </c>
      <c r="C14" s="59">
        <f>SUM(C6:C13)</f>
        <v>460</v>
      </c>
      <c r="D14" s="59">
        <f>SUM(D6:D13)</f>
        <v>440</v>
      </c>
      <c r="E14" s="59">
        <f>SUM(E6:E13)</f>
        <v>470</v>
      </c>
      <c r="F14" s="59">
        <f>SUM(F6:F13)</f>
        <v>1720</v>
      </c>
    </row>
    <row r="15" spans="1:11" ht="7.5" customHeight="1" x14ac:dyDescent="0.3"/>
    <row r="16" spans="1:11" ht="19.5" customHeight="1" x14ac:dyDescent="0.3">
      <c r="A16" s="12" t="s">
        <v>96</v>
      </c>
      <c r="B16" s="12"/>
      <c r="C16" s="12"/>
      <c r="D16" s="12"/>
      <c r="E16" s="12"/>
      <c r="F16" s="12"/>
    </row>
    <row r="17" spans="1:6" ht="21.75" customHeight="1" x14ac:dyDescent="0.3">
      <c r="A17" s="82" t="s">
        <v>55</v>
      </c>
      <c r="B17" s="82" t="s">
        <v>97</v>
      </c>
      <c r="C17" s="82" t="s">
        <v>98</v>
      </c>
      <c r="D17" s="82" t="s">
        <v>99</v>
      </c>
      <c r="E17" s="82" t="s">
        <v>100</v>
      </c>
      <c r="F17" s="82" t="s">
        <v>101</v>
      </c>
    </row>
    <row r="18" spans="1:6" ht="18" customHeight="1" x14ac:dyDescent="0.3">
      <c r="A18" s="60" t="s">
        <v>63</v>
      </c>
      <c r="B18" s="83">
        <f t="shared" ref="B18:B25" si="0">B6/F6</f>
        <v>0.33333333333333331</v>
      </c>
      <c r="C18" s="83">
        <f t="shared" ref="C18:C25" si="1">C6/F6</f>
        <v>0.27777777777777779</v>
      </c>
      <c r="D18" s="83">
        <f t="shared" ref="D18:D25" si="2">D6/F6</f>
        <v>0.16666666666666666</v>
      </c>
      <c r="E18" s="83">
        <f t="shared" ref="E18:E25" si="3">E6/F6</f>
        <v>0.22222222222222221</v>
      </c>
      <c r="F18" s="84">
        <f t="shared" ref="F18:F25" si="4">SUM(B18:E18)</f>
        <v>1</v>
      </c>
    </row>
    <row r="19" spans="1:6" ht="18" customHeight="1" x14ac:dyDescent="0.3">
      <c r="A19" s="66" t="s">
        <v>65</v>
      </c>
      <c r="B19" s="85">
        <f t="shared" si="0"/>
        <v>0.17647058823529413</v>
      </c>
      <c r="C19" s="85">
        <f t="shared" si="1"/>
        <v>0.29411764705882354</v>
      </c>
      <c r="D19" s="85">
        <f t="shared" si="2"/>
        <v>0.23529411764705882</v>
      </c>
      <c r="E19" s="85">
        <f t="shared" si="3"/>
        <v>0.29411764705882354</v>
      </c>
      <c r="F19" s="86">
        <f t="shared" si="4"/>
        <v>1</v>
      </c>
    </row>
    <row r="20" spans="1:6" ht="18" customHeight="1" x14ac:dyDescent="0.3">
      <c r="A20" s="60" t="s">
        <v>94</v>
      </c>
      <c r="B20" s="83">
        <f t="shared" si="0"/>
        <v>0.125</v>
      </c>
      <c r="C20" s="83">
        <f t="shared" si="1"/>
        <v>0.375</v>
      </c>
      <c r="D20" s="83">
        <f t="shared" si="2"/>
        <v>0.25</v>
      </c>
      <c r="E20" s="83">
        <f t="shared" si="3"/>
        <v>0.25</v>
      </c>
      <c r="F20" s="84">
        <f t="shared" si="4"/>
        <v>1</v>
      </c>
    </row>
    <row r="21" spans="1:6" ht="18" customHeight="1" x14ac:dyDescent="0.3">
      <c r="A21" s="66" t="s">
        <v>69</v>
      </c>
      <c r="B21" s="85">
        <f t="shared" si="0"/>
        <v>9.0909090909090912E-2</v>
      </c>
      <c r="C21" s="85">
        <f t="shared" si="1"/>
        <v>9.0909090909090912E-2</v>
      </c>
      <c r="D21" s="85">
        <f t="shared" si="2"/>
        <v>0.54545454545454541</v>
      </c>
      <c r="E21" s="85">
        <f t="shared" si="3"/>
        <v>0.27272727272727271</v>
      </c>
      <c r="F21" s="86">
        <f t="shared" si="4"/>
        <v>1</v>
      </c>
    </row>
    <row r="22" spans="1:6" ht="18" customHeight="1" x14ac:dyDescent="0.3">
      <c r="A22" s="60" t="s">
        <v>71</v>
      </c>
      <c r="B22" s="83">
        <f t="shared" si="0"/>
        <v>0.30769230769230771</v>
      </c>
      <c r="C22" s="83">
        <f t="shared" si="1"/>
        <v>0.30769230769230771</v>
      </c>
      <c r="D22" s="83">
        <f t="shared" si="2"/>
        <v>0.15384615384615385</v>
      </c>
      <c r="E22" s="83">
        <f t="shared" si="3"/>
        <v>0.23076923076923078</v>
      </c>
      <c r="F22" s="84">
        <f t="shared" si="4"/>
        <v>1</v>
      </c>
    </row>
    <row r="23" spans="1:6" ht="18" customHeight="1" x14ac:dyDescent="0.3">
      <c r="A23" s="66" t="s">
        <v>73</v>
      </c>
      <c r="B23" s="85">
        <f t="shared" si="0"/>
        <v>0.2857142857142857</v>
      </c>
      <c r="C23" s="85">
        <f t="shared" si="1"/>
        <v>0.14285714285714285</v>
      </c>
      <c r="D23" s="85">
        <f t="shared" si="2"/>
        <v>0.14285714285714285</v>
      </c>
      <c r="E23" s="85">
        <f t="shared" si="3"/>
        <v>0.42857142857142855</v>
      </c>
      <c r="F23" s="86">
        <f t="shared" si="4"/>
        <v>1</v>
      </c>
    </row>
    <row r="24" spans="1:6" ht="18" customHeight="1" x14ac:dyDescent="0.3">
      <c r="A24" s="60" t="s">
        <v>75</v>
      </c>
      <c r="B24" s="83">
        <f t="shared" si="0"/>
        <v>0.125</v>
      </c>
      <c r="C24" s="83">
        <f t="shared" si="1"/>
        <v>0.25</v>
      </c>
      <c r="D24" s="83">
        <f t="shared" si="2"/>
        <v>0.25</v>
      </c>
      <c r="E24" s="83">
        <f t="shared" si="3"/>
        <v>0.375</v>
      </c>
      <c r="F24" s="84">
        <f t="shared" si="4"/>
        <v>1</v>
      </c>
    </row>
    <row r="25" spans="1:6" ht="18" customHeight="1" x14ac:dyDescent="0.3">
      <c r="A25" s="66" t="s">
        <v>77</v>
      </c>
      <c r="B25" s="85">
        <f t="shared" si="0"/>
        <v>0.25</v>
      </c>
      <c r="C25" s="85">
        <f t="shared" si="1"/>
        <v>0.25</v>
      </c>
      <c r="D25" s="85">
        <f t="shared" si="2"/>
        <v>0.25</v>
      </c>
      <c r="E25" s="85">
        <f t="shared" si="3"/>
        <v>0.25</v>
      </c>
      <c r="F25" s="86">
        <f t="shared" si="4"/>
        <v>1</v>
      </c>
    </row>
  </sheetData>
  <mergeCells count="3">
    <mergeCell ref="A1:K1"/>
    <mergeCell ref="A2:K2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Normal="100" workbookViewId="0">
      <selection activeCell="G21" sqref="G21"/>
    </sheetView>
  </sheetViews>
  <sheetFormatPr defaultColWidth="8.6640625" defaultRowHeight="14.4" x14ac:dyDescent="0.3"/>
  <cols>
    <col min="1" max="1" width="23.88671875" bestFit="1" customWidth="1"/>
    <col min="2" max="2" width="33.109375" bestFit="1" customWidth="1"/>
    <col min="3" max="3" width="6.33203125" bestFit="1" customWidth="1"/>
    <col min="4" max="4" width="6" bestFit="1" customWidth="1"/>
    <col min="5" max="5" width="12" bestFit="1" customWidth="1"/>
    <col min="6" max="6" width="8" bestFit="1" customWidth="1"/>
    <col min="7" max="7" width="13.77734375" bestFit="1" customWidth="1"/>
    <col min="8" max="8" width="7.5546875" bestFit="1" customWidth="1"/>
    <col min="9" max="9" width="13.44140625" bestFit="1" customWidth="1"/>
    <col min="10" max="10" width="8.109375" bestFit="1" customWidth="1"/>
    <col min="11" max="12" width="7.6640625" bestFit="1" customWidth="1"/>
    <col min="13" max="13" width="4" customWidth="1"/>
  </cols>
  <sheetData>
    <row r="1" spans="1:13" ht="31.5" customHeight="1" x14ac:dyDescent="0.3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customHeight="1" x14ac:dyDescent="0.3">
      <c r="A2" s="13" t="s">
        <v>103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7.5" customHeight="1" x14ac:dyDescent="0.3"/>
    <row r="4" spans="1:13" ht="36" customHeight="1" x14ac:dyDescent="0.3">
      <c r="A4" s="75" t="s">
        <v>55</v>
      </c>
      <c r="B4" s="75" t="s">
        <v>104</v>
      </c>
      <c r="C4" s="75" t="s">
        <v>105</v>
      </c>
      <c r="D4" s="75" t="s">
        <v>106</v>
      </c>
      <c r="E4" s="75" t="s">
        <v>107</v>
      </c>
      <c r="F4" s="75" t="s">
        <v>38</v>
      </c>
      <c r="G4" s="75" t="s">
        <v>108</v>
      </c>
      <c r="H4" s="75" t="s">
        <v>109</v>
      </c>
      <c r="I4" s="75" t="s">
        <v>110</v>
      </c>
      <c r="J4" s="75" t="s">
        <v>111</v>
      </c>
      <c r="K4" s="75" t="s">
        <v>112</v>
      </c>
      <c r="L4" s="75" t="s">
        <v>113</v>
      </c>
    </row>
    <row r="5" spans="1:13" ht="19.5" customHeight="1" x14ac:dyDescent="0.3">
      <c r="A5" s="66" t="s">
        <v>63</v>
      </c>
      <c r="B5" s="39">
        <v>120</v>
      </c>
      <c r="C5" s="45">
        <v>100</v>
      </c>
      <c r="D5" s="51">
        <v>60</v>
      </c>
      <c r="E5" s="57">
        <v>80</v>
      </c>
      <c r="F5" s="81">
        <v>360</v>
      </c>
      <c r="G5" s="87">
        <v>22</v>
      </c>
      <c r="H5" s="88">
        <f t="shared" ref="H5:H12" si="0">F5*G5</f>
        <v>7920</v>
      </c>
      <c r="I5" s="89">
        <v>32</v>
      </c>
      <c r="J5" s="90">
        <f t="shared" ref="J5:J12" si="1">F5*I5</f>
        <v>11520</v>
      </c>
      <c r="K5" s="91">
        <v>42</v>
      </c>
      <c r="L5" s="92">
        <f t="shared" ref="L5:L12" si="2">F5*K5</f>
        <v>15120</v>
      </c>
    </row>
    <row r="6" spans="1:13" ht="19.5" customHeight="1" x14ac:dyDescent="0.3">
      <c r="A6" s="60" t="s">
        <v>65</v>
      </c>
      <c r="B6" s="39">
        <v>60</v>
      </c>
      <c r="C6" s="45">
        <v>100</v>
      </c>
      <c r="D6" s="51">
        <v>80</v>
      </c>
      <c r="E6" s="57">
        <v>100</v>
      </c>
      <c r="F6" s="80">
        <v>340</v>
      </c>
      <c r="G6" s="87">
        <v>20</v>
      </c>
      <c r="H6" s="88">
        <f t="shared" si="0"/>
        <v>6800</v>
      </c>
      <c r="I6" s="89">
        <v>29</v>
      </c>
      <c r="J6" s="90">
        <f t="shared" si="1"/>
        <v>9860</v>
      </c>
      <c r="K6" s="91">
        <v>38</v>
      </c>
      <c r="L6" s="92">
        <f t="shared" si="2"/>
        <v>12920</v>
      </c>
    </row>
    <row r="7" spans="1:13" ht="19.5" customHeight="1" x14ac:dyDescent="0.3">
      <c r="A7" s="66" t="s">
        <v>94</v>
      </c>
      <c r="B7" s="39">
        <v>40</v>
      </c>
      <c r="C7" s="45">
        <v>120</v>
      </c>
      <c r="D7" s="51">
        <v>80</v>
      </c>
      <c r="E7" s="57">
        <v>80</v>
      </c>
      <c r="F7" s="81">
        <v>320</v>
      </c>
      <c r="G7" s="87">
        <v>22</v>
      </c>
      <c r="H7" s="88">
        <f t="shared" si="0"/>
        <v>7040</v>
      </c>
      <c r="I7" s="89">
        <v>31</v>
      </c>
      <c r="J7" s="90">
        <f t="shared" si="1"/>
        <v>9920</v>
      </c>
      <c r="K7" s="91">
        <v>40</v>
      </c>
      <c r="L7" s="92">
        <f t="shared" si="2"/>
        <v>12800</v>
      </c>
    </row>
    <row r="8" spans="1:13" ht="19.5" customHeight="1" x14ac:dyDescent="0.3">
      <c r="A8" s="60" t="s">
        <v>69</v>
      </c>
      <c r="B8" s="39">
        <v>20</v>
      </c>
      <c r="C8" s="45">
        <v>20</v>
      </c>
      <c r="D8" s="51">
        <v>120</v>
      </c>
      <c r="E8" s="57">
        <v>60</v>
      </c>
      <c r="F8" s="80">
        <v>220</v>
      </c>
      <c r="G8" s="87">
        <v>25</v>
      </c>
      <c r="H8" s="88">
        <f t="shared" si="0"/>
        <v>5500</v>
      </c>
      <c r="I8" s="89">
        <v>36</v>
      </c>
      <c r="J8" s="90">
        <f t="shared" si="1"/>
        <v>7920</v>
      </c>
      <c r="K8" s="91">
        <v>48</v>
      </c>
      <c r="L8" s="92">
        <f t="shared" si="2"/>
        <v>10560</v>
      </c>
    </row>
    <row r="9" spans="1:13" ht="19.5" customHeight="1" x14ac:dyDescent="0.3">
      <c r="A9" s="66" t="s">
        <v>71</v>
      </c>
      <c r="B9" s="39">
        <v>40</v>
      </c>
      <c r="C9" s="45">
        <v>40</v>
      </c>
      <c r="D9" s="51">
        <v>20</v>
      </c>
      <c r="E9" s="57">
        <v>30</v>
      </c>
      <c r="F9" s="81">
        <v>130</v>
      </c>
      <c r="G9" s="87">
        <v>18</v>
      </c>
      <c r="H9" s="88">
        <f t="shared" si="0"/>
        <v>2340</v>
      </c>
      <c r="I9" s="89">
        <v>25</v>
      </c>
      <c r="J9" s="90">
        <f t="shared" si="1"/>
        <v>3250</v>
      </c>
      <c r="K9" s="91">
        <v>32</v>
      </c>
      <c r="L9" s="92">
        <f t="shared" si="2"/>
        <v>4160</v>
      </c>
    </row>
    <row r="10" spans="1:13" ht="19.5" customHeight="1" x14ac:dyDescent="0.3">
      <c r="A10" s="60" t="s">
        <v>73</v>
      </c>
      <c r="B10" s="39">
        <v>20</v>
      </c>
      <c r="C10" s="45">
        <v>10</v>
      </c>
      <c r="D10" s="51">
        <v>10</v>
      </c>
      <c r="E10" s="57">
        <v>30</v>
      </c>
      <c r="F10" s="80">
        <v>70</v>
      </c>
      <c r="G10" s="87">
        <v>22</v>
      </c>
      <c r="H10" s="88">
        <f t="shared" si="0"/>
        <v>1540</v>
      </c>
      <c r="I10" s="89">
        <v>31</v>
      </c>
      <c r="J10" s="90">
        <f t="shared" si="1"/>
        <v>2170</v>
      </c>
      <c r="K10" s="91">
        <v>40</v>
      </c>
      <c r="L10" s="92">
        <f t="shared" si="2"/>
        <v>2800</v>
      </c>
    </row>
    <row r="11" spans="1:13" ht="19.5" customHeight="1" x14ac:dyDescent="0.3">
      <c r="A11" s="66" t="s">
        <v>75</v>
      </c>
      <c r="B11" s="39">
        <v>20</v>
      </c>
      <c r="C11" s="45">
        <v>40</v>
      </c>
      <c r="D11" s="51">
        <v>40</v>
      </c>
      <c r="E11" s="57">
        <v>60</v>
      </c>
      <c r="F11" s="81">
        <v>160</v>
      </c>
      <c r="G11" s="87">
        <v>15</v>
      </c>
      <c r="H11" s="88">
        <f t="shared" si="0"/>
        <v>2400</v>
      </c>
      <c r="I11" s="89">
        <v>21</v>
      </c>
      <c r="J11" s="90">
        <f t="shared" si="1"/>
        <v>3360</v>
      </c>
      <c r="K11" s="91">
        <v>28</v>
      </c>
      <c r="L11" s="92">
        <f t="shared" si="2"/>
        <v>4480</v>
      </c>
    </row>
    <row r="12" spans="1:13" ht="19.5" customHeight="1" x14ac:dyDescent="0.3">
      <c r="A12" s="60" t="s">
        <v>77</v>
      </c>
      <c r="B12" s="39">
        <v>30</v>
      </c>
      <c r="C12" s="45">
        <v>30</v>
      </c>
      <c r="D12" s="51">
        <v>30</v>
      </c>
      <c r="E12" s="57">
        <v>30</v>
      </c>
      <c r="F12" s="80">
        <v>120</v>
      </c>
      <c r="G12" s="87">
        <v>18</v>
      </c>
      <c r="H12" s="88">
        <f t="shared" si="0"/>
        <v>2160</v>
      </c>
      <c r="I12" s="89">
        <v>25</v>
      </c>
      <c r="J12" s="90">
        <f t="shared" si="1"/>
        <v>3000</v>
      </c>
      <c r="K12" s="91">
        <v>35</v>
      </c>
      <c r="L12" s="92">
        <f t="shared" si="2"/>
        <v>4200</v>
      </c>
    </row>
    <row r="13" spans="1:13" ht="24" customHeight="1" x14ac:dyDescent="0.3">
      <c r="A13" s="16" t="s">
        <v>51</v>
      </c>
      <c r="B13" s="59">
        <f>SUM(B5:B12)</f>
        <v>350</v>
      </c>
      <c r="C13" s="59">
        <f>SUM(C5:C12)</f>
        <v>460</v>
      </c>
      <c r="D13" s="59">
        <f>SUM(D5:D12)</f>
        <v>440</v>
      </c>
      <c r="E13" s="59">
        <f>SUM(E5:E12)</f>
        <v>470</v>
      </c>
      <c r="F13" s="59">
        <f>SUM(F5:F12)</f>
        <v>1720</v>
      </c>
      <c r="G13" s="16"/>
      <c r="H13" s="93">
        <f>SUM(H5:H12)</f>
        <v>35700</v>
      </c>
      <c r="I13" s="16"/>
      <c r="J13" s="93">
        <f>SUM(J5:J12)</f>
        <v>51000</v>
      </c>
      <c r="K13" s="16"/>
      <c r="L13" s="93">
        <f>SUM(L5:L12)</f>
        <v>67040</v>
      </c>
    </row>
    <row r="14" spans="1:13" ht="7.5" customHeight="1" x14ac:dyDescent="0.3"/>
    <row r="15" spans="1:13" ht="19.5" customHeight="1" x14ac:dyDescent="0.3">
      <c r="A15" s="12" t="s">
        <v>114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21.75" customHeight="1" x14ac:dyDescent="0.3">
      <c r="A16" s="82" t="s">
        <v>30</v>
      </c>
      <c r="B16" s="82" t="s">
        <v>115</v>
      </c>
      <c r="C16" s="82" t="s">
        <v>116</v>
      </c>
      <c r="D16" s="82"/>
      <c r="E16" s="82" t="s">
        <v>117</v>
      </c>
      <c r="F16" s="82"/>
      <c r="G16" s="82" t="s">
        <v>118</v>
      </c>
      <c r="H16" s="82"/>
      <c r="I16" s="82" t="s">
        <v>119</v>
      </c>
    </row>
    <row r="17" spans="1:9" ht="19.5" customHeight="1" x14ac:dyDescent="0.3">
      <c r="A17" s="94" t="s">
        <v>18</v>
      </c>
      <c r="B17" s="37" t="s">
        <v>120</v>
      </c>
      <c r="C17" s="40">
        <v>320</v>
      </c>
      <c r="D17" s="36"/>
      <c r="E17" s="95">
        <v>7810</v>
      </c>
      <c r="F17" s="36"/>
      <c r="G17" s="96">
        <v>10650</v>
      </c>
      <c r="H17" s="36"/>
      <c r="I17" s="97">
        <v>14910</v>
      </c>
    </row>
    <row r="18" spans="1:9" ht="19.5" customHeight="1" x14ac:dyDescent="0.3">
      <c r="A18" s="98" t="s">
        <v>19</v>
      </c>
      <c r="B18" s="43" t="s">
        <v>121</v>
      </c>
      <c r="C18" s="46">
        <v>410</v>
      </c>
      <c r="D18" s="42"/>
      <c r="E18" s="99">
        <v>10010</v>
      </c>
      <c r="F18" s="42"/>
      <c r="G18" s="100">
        <v>13680</v>
      </c>
      <c r="H18" s="42"/>
      <c r="I18" s="101">
        <v>19140</v>
      </c>
    </row>
    <row r="19" spans="1:9" ht="19.5" customHeight="1" x14ac:dyDescent="0.3">
      <c r="A19" s="102" t="s">
        <v>20</v>
      </c>
      <c r="B19" s="49" t="s">
        <v>122</v>
      </c>
      <c r="C19" s="52">
        <v>400</v>
      </c>
      <c r="D19" s="48"/>
      <c r="E19" s="103">
        <v>9240</v>
      </c>
      <c r="F19" s="48"/>
      <c r="G19" s="104">
        <v>12600</v>
      </c>
      <c r="H19" s="48"/>
      <c r="I19" s="105">
        <v>17640</v>
      </c>
    </row>
    <row r="20" spans="1:9" ht="19.5" customHeight="1" x14ac:dyDescent="0.3">
      <c r="A20" s="106" t="s">
        <v>21</v>
      </c>
      <c r="B20" s="55" t="s">
        <v>123</v>
      </c>
      <c r="C20" s="58">
        <v>440</v>
      </c>
      <c r="D20" s="54"/>
      <c r="E20" s="107">
        <v>10560</v>
      </c>
      <c r="F20" s="54"/>
      <c r="G20" s="108">
        <v>14400</v>
      </c>
      <c r="H20" s="54"/>
      <c r="I20" s="109">
        <v>20160</v>
      </c>
    </row>
    <row r="21" spans="1:9" ht="24" customHeight="1" x14ac:dyDescent="0.3">
      <c r="A21" s="110" t="s">
        <v>124</v>
      </c>
      <c r="B21" s="110" t="s">
        <v>125</v>
      </c>
      <c r="C21" s="111">
        <f>SUM(C17:C20)</f>
        <v>1570</v>
      </c>
      <c r="D21" s="110"/>
      <c r="E21" s="112">
        <f>SUM(E17:E20)</f>
        <v>37620</v>
      </c>
      <c r="F21" s="110"/>
      <c r="G21" s="112">
        <f>SUM(G17:G20)</f>
        <v>51330</v>
      </c>
      <c r="H21" s="110"/>
      <c r="I21" s="112">
        <f>SUM(I17:I20)</f>
        <v>71850</v>
      </c>
    </row>
  </sheetData>
  <mergeCells count="3">
    <mergeCell ref="A1:M1"/>
    <mergeCell ref="A2:M2"/>
    <mergeCell ref="A15:M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zoomScaleNormal="100" workbookViewId="0">
      <selection sqref="A1:F1"/>
    </sheetView>
  </sheetViews>
  <sheetFormatPr defaultColWidth="8.6640625" defaultRowHeight="14.4" x14ac:dyDescent="0.3"/>
  <cols>
    <col min="1" max="1" width="24.77734375" bestFit="1" customWidth="1"/>
    <col min="2" max="2" width="20" customWidth="1"/>
    <col min="3" max="5" width="15" customWidth="1"/>
    <col min="6" max="6" width="20" customWidth="1"/>
  </cols>
  <sheetData>
    <row r="1" spans="1:6" ht="31.5" customHeight="1" x14ac:dyDescent="0.3">
      <c r="A1" s="9" t="s">
        <v>126</v>
      </c>
      <c r="B1" s="9"/>
      <c r="C1" s="9"/>
      <c r="D1" s="9"/>
      <c r="E1" s="9"/>
      <c r="F1" s="9"/>
    </row>
    <row r="3" spans="1:6" ht="21.75" customHeight="1" x14ac:dyDescent="0.3">
      <c r="A3" s="5" t="s">
        <v>127</v>
      </c>
      <c r="B3" s="5"/>
      <c r="C3" s="5"/>
      <c r="D3" s="5"/>
      <c r="E3" s="5"/>
      <c r="F3" s="5"/>
    </row>
    <row r="4" spans="1:6" ht="30" customHeight="1" x14ac:dyDescent="0.3">
      <c r="A4" s="113" t="s">
        <v>128</v>
      </c>
      <c r="B4" s="4" t="s">
        <v>129</v>
      </c>
      <c r="C4" s="4"/>
      <c r="D4" s="4"/>
      <c r="E4" s="4"/>
      <c r="F4" s="4"/>
    </row>
    <row r="5" spans="1:6" ht="30" customHeight="1" x14ac:dyDescent="0.3">
      <c r="A5" s="113" t="s">
        <v>130</v>
      </c>
      <c r="B5" s="4" t="s">
        <v>131</v>
      </c>
      <c r="C5" s="4"/>
      <c r="D5" s="4"/>
      <c r="E5" s="4"/>
      <c r="F5" s="4"/>
    </row>
    <row r="6" spans="1:6" ht="30" customHeight="1" x14ac:dyDescent="0.3">
      <c r="A6" s="113" t="s">
        <v>132</v>
      </c>
      <c r="B6" s="4" t="s">
        <v>133</v>
      </c>
      <c r="C6" s="4"/>
      <c r="D6" s="4"/>
      <c r="E6" s="4"/>
      <c r="F6" s="4"/>
    </row>
    <row r="8" spans="1:6" ht="21.75" customHeight="1" x14ac:dyDescent="0.3">
      <c r="A8" s="3" t="s">
        <v>134</v>
      </c>
      <c r="B8" s="3"/>
      <c r="C8" s="3"/>
      <c r="D8" s="3"/>
      <c r="E8" s="3"/>
      <c r="F8" s="3"/>
    </row>
    <row r="9" spans="1:6" ht="30" customHeight="1" x14ac:dyDescent="0.3">
      <c r="A9" s="113" t="s">
        <v>135</v>
      </c>
      <c r="B9" s="4" t="s">
        <v>136</v>
      </c>
      <c r="C9" s="4"/>
      <c r="D9" s="4"/>
      <c r="E9" s="4"/>
      <c r="F9" s="4"/>
    </row>
    <row r="10" spans="1:6" ht="30" customHeight="1" x14ac:dyDescent="0.3">
      <c r="A10" s="113" t="s">
        <v>137</v>
      </c>
      <c r="B10" s="4" t="s">
        <v>138</v>
      </c>
      <c r="C10" s="4"/>
      <c r="D10" s="4"/>
      <c r="E10" s="4"/>
      <c r="F10" s="4"/>
    </row>
    <row r="12" spans="1:6" ht="21.75" customHeight="1" x14ac:dyDescent="0.3">
      <c r="A12" s="2" t="s">
        <v>139</v>
      </c>
      <c r="B12" s="2"/>
      <c r="C12" s="2"/>
      <c r="D12" s="2"/>
      <c r="E12" s="2"/>
      <c r="F12" s="2"/>
    </row>
    <row r="13" spans="1:6" ht="30" customHeight="1" x14ac:dyDescent="0.3">
      <c r="A13" s="113" t="s">
        <v>135</v>
      </c>
      <c r="B13" s="4" t="s">
        <v>140</v>
      </c>
      <c r="C13" s="4"/>
      <c r="D13" s="4"/>
      <c r="E13" s="4"/>
      <c r="F13" s="4"/>
    </row>
    <row r="14" spans="1:6" ht="30" customHeight="1" x14ac:dyDescent="0.3">
      <c r="A14" s="113" t="s">
        <v>137</v>
      </c>
      <c r="B14" s="4" t="s">
        <v>141</v>
      </c>
      <c r="C14" s="4"/>
      <c r="D14" s="4"/>
      <c r="E14" s="4"/>
      <c r="F14" s="4"/>
    </row>
    <row r="16" spans="1:6" ht="21.75" customHeight="1" x14ac:dyDescent="0.3">
      <c r="A16" s="1" t="s">
        <v>142</v>
      </c>
      <c r="B16" s="1"/>
      <c r="C16" s="1"/>
      <c r="D16" s="1"/>
      <c r="E16" s="1"/>
      <c r="F16" s="1"/>
    </row>
    <row r="17" spans="1:6" ht="30" customHeight="1" x14ac:dyDescent="0.3">
      <c r="A17" s="113" t="s">
        <v>143</v>
      </c>
      <c r="B17" s="4" t="s">
        <v>144</v>
      </c>
      <c r="C17" s="4"/>
      <c r="D17" s="4"/>
      <c r="E17" s="4"/>
      <c r="F17" s="4"/>
    </row>
    <row r="18" spans="1:6" ht="30" customHeight="1" x14ac:dyDescent="0.3">
      <c r="A18" s="113" t="s">
        <v>145</v>
      </c>
      <c r="B18" s="4" t="s">
        <v>146</v>
      </c>
      <c r="C18" s="4"/>
      <c r="D18" s="4"/>
      <c r="E18" s="4"/>
      <c r="F18" s="4"/>
    </row>
    <row r="19" spans="1:6" ht="30" customHeight="1" x14ac:dyDescent="0.3">
      <c r="A19" s="113" t="s">
        <v>147</v>
      </c>
      <c r="B19" s="4" t="s">
        <v>148</v>
      </c>
      <c r="C19" s="4"/>
      <c r="D19" s="4"/>
      <c r="E19" s="4"/>
      <c r="F19" s="4"/>
    </row>
    <row r="20" spans="1:6" ht="30" customHeight="1" x14ac:dyDescent="0.3">
      <c r="A20" s="113" t="s">
        <v>149</v>
      </c>
      <c r="B20" s="4" t="s">
        <v>150</v>
      </c>
      <c r="C20" s="4"/>
      <c r="D20" s="4"/>
      <c r="E20" s="4"/>
      <c r="F20" s="4"/>
    </row>
    <row r="21" spans="1:6" ht="30" customHeight="1" x14ac:dyDescent="0.3">
      <c r="A21" s="113" t="s">
        <v>151</v>
      </c>
      <c r="B21" s="4" t="s">
        <v>152</v>
      </c>
      <c r="C21" s="4"/>
      <c r="D21" s="4"/>
      <c r="E21" s="4"/>
      <c r="F21" s="4"/>
    </row>
    <row r="22" spans="1:6" ht="30" customHeight="1" x14ac:dyDescent="0.3">
      <c r="A22" s="113" t="s">
        <v>153</v>
      </c>
      <c r="B22" s="4" t="s">
        <v>154</v>
      </c>
      <c r="C22" s="4"/>
      <c r="D22" s="4"/>
      <c r="E22" s="4"/>
      <c r="F22" s="4"/>
    </row>
  </sheetData>
  <mergeCells count="18">
    <mergeCell ref="B20:F20"/>
    <mergeCell ref="B21:F21"/>
    <mergeCell ref="B22:F22"/>
    <mergeCell ref="B14:F14"/>
    <mergeCell ref="A16:F16"/>
    <mergeCell ref="B17:F17"/>
    <mergeCell ref="B18:F18"/>
    <mergeCell ref="B19:F19"/>
    <mergeCell ref="A8:F8"/>
    <mergeCell ref="B9:F9"/>
    <mergeCell ref="B10:F10"/>
    <mergeCell ref="A12:F12"/>
    <mergeCell ref="B13:F13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Roles &amp; Rates</vt:lpstr>
      <vt:lpstr>Phase Breakdown</vt:lpstr>
      <vt:lpstr>Detailed Cost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Combu saif</cp:lastModifiedBy>
  <cp:revision>0</cp:revision>
  <dcterms:created xsi:type="dcterms:W3CDTF">2026-06-07T16:04:27Z</dcterms:created>
  <dcterms:modified xsi:type="dcterms:W3CDTF">2026-06-07T16:08:05Z</dcterms:modified>
  <dc:language>en-US</dc:language>
</cp:coreProperties>
</file>